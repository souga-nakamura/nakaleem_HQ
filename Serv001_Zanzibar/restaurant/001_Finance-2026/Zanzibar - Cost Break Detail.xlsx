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9095" windowHeight="1176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Sheet1!$1:$3</definedName>
  </definedNames>
  <calcPr calcId="124519"/>
</workbook>
</file>

<file path=xl/calcChain.xml><?xml version="1.0" encoding="utf-8"?>
<calcChain xmlns="http://schemas.openxmlformats.org/spreadsheetml/2006/main">
  <c r="I15" i="1"/>
  <c r="F112"/>
  <c r="E112"/>
  <c r="H111"/>
  <c r="H112" s="1"/>
  <c r="G111"/>
  <c r="G112" s="1"/>
  <c r="F111"/>
  <c r="E111"/>
  <c r="C112"/>
  <c r="E107"/>
  <c r="H106"/>
  <c r="H107" s="1"/>
  <c r="G106"/>
  <c r="G107" s="1"/>
  <c r="F106"/>
  <c r="F107" s="1"/>
  <c r="E106"/>
  <c r="D106"/>
  <c r="D107" s="1"/>
  <c r="C111"/>
  <c r="C107"/>
  <c r="C106"/>
  <c r="I97"/>
  <c r="H97"/>
  <c r="G97"/>
  <c r="F97"/>
  <c r="E97"/>
  <c r="D97"/>
  <c r="D99" s="1"/>
  <c r="C97"/>
  <c r="D102"/>
  <c r="E102"/>
  <c r="F102"/>
  <c r="G102"/>
  <c r="H102"/>
  <c r="I102"/>
  <c r="C102"/>
  <c r="D111" l="1"/>
  <c r="D112" s="1"/>
  <c r="I99"/>
  <c r="H99"/>
  <c r="G99"/>
  <c r="F99"/>
  <c r="E99"/>
  <c r="C99"/>
  <c r="H31"/>
  <c r="G31"/>
  <c r="F31"/>
  <c r="E31"/>
  <c r="D31"/>
  <c r="H29" l="1"/>
  <c r="H33" s="1"/>
  <c r="H34" s="1"/>
  <c r="G29"/>
  <c r="G33" s="1"/>
  <c r="G34" s="1"/>
  <c r="F29"/>
  <c r="F33" s="1"/>
  <c r="F34" s="1"/>
  <c r="E29"/>
  <c r="E33" s="1"/>
  <c r="E34" s="1"/>
  <c r="D29"/>
  <c r="D33" s="1"/>
  <c r="D34" s="1"/>
  <c r="C29"/>
  <c r="C33" s="1"/>
  <c r="C34" s="1"/>
  <c r="I29" l="1"/>
  <c r="I33" s="1"/>
  <c r="I34" l="1"/>
  <c r="I106"/>
  <c r="I111" l="1"/>
  <c r="I112" s="1"/>
  <c r="I107"/>
</calcChain>
</file>

<file path=xl/sharedStrings.xml><?xml version="1.0" encoding="utf-8"?>
<sst xmlns="http://schemas.openxmlformats.org/spreadsheetml/2006/main" count="86" uniqueCount="82">
  <si>
    <t xml:space="preserve">PURCHASES </t>
  </si>
  <si>
    <t xml:space="preserve">Rice </t>
  </si>
  <si>
    <t>Chicken</t>
  </si>
  <si>
    <t xml:space="preserve">Dairy Items </t>
  </si>
  <si>
    <t xml:space="preserve">Fish </t>
  </si>
  <si>
    <t xml:space="preserve">Flour, Maida, Corn Flour </t>
  </si>
  <si>
    <t xml:space="preserve">Ghee &amp; Cooking Oil </t>
  </si>
  <si>
    <t>General Store Items (Cash)</t>
  </si>
  <si>
    <t xml:space="preserve">Ice </t>
  </si>
  <si>
    <t xml:space="preserve">Bakery Items </t>
  </si>
  <si>
    <t xml:space="preserve">Baverages </t>
  </si>
  <si>
    <t xml:space="preserve">Ice Cream </t>
  </si>
  <si>
    <t xml:space="preserve">Eggs </t>
  </si>
  <si>
    <t xml:space="preserve">Vegetable </t>
  </si>
  <si>
    <t>General Store Items (Credit)</t>
  </si>
  <si>
    <t xml:space="preserve">Fruits </t>
  </si>
  <si>
    <t>Electricity Expense</t>
  </si>
  <si>
    <t>Telephone Bills Expense</t>
  </si>
  <si>
    <t>Wasa Bill Expense</t>
  </si>
  <si>
    <t>Rent Of Primses Expense</t>
  </si>
  <si>
    <t>Employees Old Age Benefit Expenses</t>
  </si>
  <si>
    <t>Social Security Expense</t>
  </si>
  <si>
    <t>Postage &amp; Telegram Expense</t>
  </si>
  <si>
    <t>Entertainment Expense</t>
  </si>
  <si>
    <t>Printing &amp; Stationery Expense</t>
  </si>
  <si>
    <t>Bank Charges Expense</t>
  </si>
  <si>
    <t>Carriage in Expense</t>
  </si>
  <si>
    <t>Packing Material Expense</t>
  </si>
  <si>
    <t>Service Charges Expense</t>
  </si>
  <si>
    <t>Misc. Expenses</t>
  </si>
  <si>
    <t>Crockery Purchase Expenses</t>
  </si>
  <si>
    <t>Development &amp; Technologies Expense</t>
  </si>
  <si>
    <t>Withholding Tax Expenses</t>
  </si>
  <si>
    <t>Flower, Cake etc. for Customers</t>
  </si>
  <si>
    <t>Legal Fee, Challan etc.</t>
  </si>
  <si>
    <t>Multimedia, Tent etc.</t>
  </si>
  <si>
    <t>Sales Return A/c</t>
  </si>
  <si>
    <t>Wages &amp; Labour Exp.</t>
  </si>
  <si>
    <t>Electric Related Items</t>
  </si>
  <si>
    <t>Computer Related Expense</t>
  </si>
  <si>
    <t>Staff Uniform Expense</t>
  </si>
  <si>
    <t>LPG Gas A/C</t>
  </si>
  <si>
    <t>Fuel &amp; Mobile Expenses</t>
  </si>
  <si>
    <t>Medical Expense</t>
  </si>
  <si>
    <t>Decoration Expenses</t>
  </si>
  <si>
    <t>Rent of Staff Residence</t>
  </si>
  <si>
    <t>Electricity Expenses (Staff Quarter)</t>
  </si>
  <si>
    <t>Tissue Papers &amp; Napkins</t>
  </si>
  <si>
    <t>Charity Expense</t>
  </si>
  <si>
    <t>Detergent Purchase Expense</t>
  </si>
  <si>
    <t>Staff Convayance Expense</t>
  </si>
  <si>
    <t>Repair &amp; Maintenance (Gen. Set)</t>
  </si>
  <si>
    <t>Repair &amp; Maintenance (Vehicles)</t>
  </si>
  <si>
    <t>Repair &amp; Maintenance (Furniture &amp; Fixture)</t>
  </si>
  <si>
    <t>Staff Food Expense</t>
  </si>
  <si>
    <t>Salaries &amp; Wages Expense</t>
  </si>
  <si>
    <t>Sales Discount A/c</t>
  </si>
  <si>
    <t>Opening Stock</t>
  </si>
  <si>
    <t>Closing Stock</t>
  </si>
  <si>
    <t>Cost of Goods Sold</t>
  </si>
  <si>
    <t>Total Sales</t>
  </si>
  <si>
    <t>Total Purchase</t>
  </si>
  <si>
    <t>%Age</t>
  </si>
  <si>
    <t>ADMIN EXPENSE</t>
  </si>
  <si>
    <t xml:space="preserve">Total Expenses </t>
  </si>
  <si>
    <t xml:space="preserve">Mineral Water </t>
  </si>
  <si>
    <t>Sweets Purchase</t>
  </si>
  <si>
    <t>Mutton &amp; Beef, Undercut &amp; Fats Purchase</t>
  </si>
  <si>
    <t>Coal</t>
  </si>
  <si>
    <t>Sui Gas</t>
  </si>
  <si>
    <t>Out of Pocket Expense</t>
  </si>
  <si>
    <t>Oil &amp; Lubricant Expense</t>
  </si>
  <si>
    <t>Misc. Food Expense</t>
  </si>
  <si>
    <t>Repair &amp; Maintenance (Kitchen)</t>
  </si>
  <si>
    <t>General Sales Tax</t>
  </si>
  <si>
    <t>Newspaper Expense</t>
  </si>
  <si>
    <t>Sipirit Pur. Expense</t>
  </si>
  <si>
    <t>Repair &amp; Maintenance (Premises)</t>
  </si>
  <si>
    <t>Plants &amp; Flowers</t>
  </si>
  <si>
    <t>ZANZIBAR RESTURANT (COST BREAK DETAIL)</t>
  </si>
  <si>
    <t>Net Profit</t>
  </si>
  <si>
    <t xml:space="preserve">Total (CGS, Admin Exp. &amp; GST) Exp. </t>
  </si>
</sst>
</file>

<file path=xl/styles.xml><?xml version="1.0" encoding="utf-8"?>
<styleSheet xmlns="http://schemas.openxmlformats.org/spreadsheetml/2006/main">
  <numFmts count="4">
    <numFmt numFmtId="41" formatCode="_(* #,##0_);_(* \(#,##0\);_(* &quot;-&quot;_);_(@_)"/>
    <numFmt numFmtId="43" formatCode="_(* #,##0.00_);_(* \(#,##0.00\);_(* &quot;-&quot;??_);_(@_)"/>
    <numFmt numFmtId="164" formatCode="#,##0;\-#,##0;\-"/>
    <numFmt numFmtId="165" formatCode="_(* #,##0_);_(* \(#,##0\);_(* &quot;-&quot;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Times New Roman"/>
      <family val="1"/>
    </font>
    <font>
      <sz val="9"/>
      <color indexed="8"/>
      <name val="Times New Roman"/>
      <family val="1"/>
    </font>
    <font>
      <sz val="11"/>
      <color theme="1"/>
      <name val="Times New Roman"/>
      <family val="1"/>
    </font>
    <font>
      <b/>
      <i/>
      <u/>
      <sz val="18"/>
      <color theme="1"/>
      <name val="Times New Roman"/>
      <family val="1"/>
    </font>
    <font>
      <b/>
      <u/>
      <sz val="12"/>
      <name val="Times New Roman"/>
      <family val="1"/>
    </font>
    <font>
      <b/>
      <sz val="10"/>
      <name val="Times New Roman"/>
      <family val="1"/>
    </font>
    <font>
      <sz val="11"/>
      <color theme="0"/>
      <name val="Times New Roman"/>
      <family val="1"/>
    </font>
    <font>
      <b/>
      <sz val="12"/>
      <name val="Times New Roman"/>
      <family val="1"/>
    </font>
    <font>
      <b/>
      <sz val="9"/>
      <name val="Times New Roman"/>
      <family val="1"/>
    </font>
    <font>
      <sz val="1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 applyAlignment="1">
      <alignment vertical="top" wrapText="1"/>
    </xf>
    <xf numFmtId="39" fontId="3" fillId="0" borderId="0" xfId="0" applyNumberFormat="1" applyFont="1" applyFill="1" applyAlignment="1">
      <alignment vertical="top" wrapText="1"/>
    </xf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17" fontId="7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0" fontId="8" fillId="0" borderId="0" xfId="0" applyFont="1"/>
    <xf numFmtId="43" fontId="10" fillId="0" borderId="1" xfId="0" applyNumberFormat="1" applyFont="1" applyBorder="1"/>
    <xf numFmtId="0" fontId="2" fillId="0" borderId="0" xfId="0" applyFont="1" applyFill="1" applyAlignment="1">
      <alignment vertical="top" wrapText="1"/>
    </xf>
    <xf numFmtId="0" fontId="9" fillId="0" borderId="0" xfId="0" applyFont="1" applyAlignment="1">
      <alignment horizontal="left"/>
    </xf>
    <xf numFmtId="0" fontId="13" fillId="0" borderId="0" xfId="0" applyFont="1"/>
    <xf numFmtId="165" fontId="7" fillId="0" borderId="0" xfId="1" applyNumberFormat="1" applyFont="1" applyAlignment="1">
      <alignment horizontal="center"/>
    </xf>
    <xf numFmtId="41" fontId="11" fillId="0" borderId="0" xfId="0" applyNumberFormat="1" applyFont="1"/>
    <xf numFmtId="165" fontId="4" fillId="0" borderId="0" xfId="1" applyNumberFormat="1" applyFont="1"/>
    <xf numFmtId="43" fontId="10" fillId="0" borderId="0" xfId="0" applyNumberFormat="1" applyFont="1" applyBorder="1"/>
    <xf numFmtId="164" fontId="3" fillId="0" borderId="0" xfId="0" applyNumberFormat="1" applyFont="1" applyFill="1" applyAlignment="1">
      <alignment vertical="center" wrapText="1"/>
    </xf>
    <xf numFmtId="165" fontId="12" fillId="0" borderId="2" xfId="1" applyNumberFormat="1" applyFont="1" applyBorder="1"/>
    <xf numFmtId="165" fontId="12" fillId="0" borderId="3" xfId="1" applyNumberFormat="1" applyFont="1" applyBorder="1"/>
    <xf numFmtId="165" fontId="12" fillId="0" borderId="4" xfId="1" applyNumberFormat="1" applyFont="1" applyBorder="1"/>
    <xf numFmtId="0" fontId="13" fillId="0" borderId="5" xfId="0" applyFont="1" applyBorder="1"/>
    <xf numFmtId="165" fontId="13" fillId="0" borderId="6" xfId="1" applyNumberFormat="1" applyFont="1" applyBorder="1"/>
    <xf numFmtId="165" fontId="13" fillId="0" borderId="7" xfId="1" applyNumberFormat="1" applyFont="1" applyBorder="1"/>
    <xf numFmtId="0" fontId="13" fillId="0" borderId="8" xfId="0" applyFont="1" applyBorder="1"/>
    <xf numFmtId="43" fontId="13" fillId="0" borderId="9" xfId="0" applyNumberFormat="1" applyFont="1" applyBorder="1" applyAlignment="1">
      <alignment horizontal="center"/>
    </xf>
    <xf numFmtId="43" fontId="13" fillId="0" borderId="10" xfId="0" applyNumberFormat="1" applyFont="1" applyBorder="1" applyAlignment="1">
      <alignment horizontal="center"/>
    </xf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9" fillId="0" borderId="11" xfId="0" applyFont="1" applyBorder="1" applyAlignment="1">
      <alignment horizontal="left"/>
    </xf>
    <xf numFmtId="43" fontId="10" fillId="0" borderId="12" xfId="0" applyNumberFormat="1" applyFont="1" applyBorder="1"/>
    <xf numFmtId="43" fontId="10" fillId="0" borderId="13" xfId="0" applyNumberFormat="1" applyFont="1" applyBorder="1"/>
    <xf numFmtId="0" fontId="12" fillId="0" borderId="5" xfId="0" applyFont="1" applyBorder="1"/>
    <xf numFmtId="165" fontId="12" fillId="0" borderId="6" xfId="0" applyNumberFormat="1" applyFont="1" applyBorder="1"/>
    <xf numFmtId="165" fontId="12" fillId="0" borderId="7" xfId="0" applyNumberFormat="1" applyFont="1" applyBorder="1"/>
    <xf numFmtId="0" fontId="5" fillId="0" borderId="0" xfId="0" applyFont="1" applyAlignment="1">
      <alignment horizontal="center"/>
    </xf>
    <xf numFmtId="165" fontId="13" fillId="0" borderId="6" xfId="0" applyNumberFormat="1" applyFont="1" applyBorder="1"/>
    <xf numFmtId="165" fontId="13" fillId="0" borderId="7" xfId="0" applyNumberFormat="1" applyFont="1" applyBorder="1"/>
    <xf numFmtId="43" fontId="13" fillId="0" borderId="9" xfId="0" applyNumberFormat="1" applyFont="1" applyBorder="1"/>
    <xf numFmtId="43" fontId="13" fillId="0" borderId="10" xfId="0" applyNumberFormat="1" applyFont="1" applyBorder="1"/>
    <xf numFmtId="0" fontId="13" fillId="0" borderId="0" xfId="0" applyFont="1" applyBorder="1"/>
    <xf numFmtId="43" fontId="13" fillId="0" borderId="0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I112"/>
  <sheetViews>
    <sheetView tabSelected="1" topLeftCell="A82" workbookViewId="0">
      <selection activeCell="C108" sqref="C108"/>
    </sheetView>
  </sheetViews>
  <sheetFormatPr defaultRowHeight="15"/>
  <cols>
    <col min="1" max="1" width="9.140625" style="3"/>
    <col min="2" max="2" width="38.28515625" style="3" customWidth="1"/>
    <col min="3" max="8" width="13.5703125" style="3" customWidth="1"/>
    <col min="9" max="9" width="14.28515625" style="3" bestFit="1" customWidth="1"/>
    <col min="10" max="16384" width="9.140625" style="3"/>
  </cols>
  <sheetData>
    <row r="1" spans="2:9" ht="23.25">
      <c r="B1" s="36" t="s">
        <v>79</v>
      </c>
      <c r="C1" s="36"/>
      <c r="D1" s="36"/>
      <c r="E1" s="36"/>
      <c r="F1" s="36"/>
      <c r="G1" s="36"/>
      <c r="H1" s="36"/>
      <c r="I1" s="36"/>
    </row>
    <row r="3" spans="2:9">
      <c r="B3" s="5"/>
      <c r="C3" s="6">
        <v>46023</v>
      </c>
      <c r="D3" s="6">
        <v>46054</v>
      </c>
      <c r="E3" s="6">
        <v>46082</v>
      </c>
      <c r="F3" s="6">
        <v>46113</v>
      </c>
      <c r="G3" s="6">
        <v>46143</v>
      </c>
      <c r="H3" s="6">
        <v>46174</v>
      </c>
      <c r="I3" s="6">
        <v>46204</v>
      </c>
    </row>
    <row r="4" spans="2:9" ht="15.75" thickBot="1">
      <c r="B4" s="5"/>
      <c r="C4" s="6"/>
      <c r="D4" s="6"/>
      <c r="E4" s="6"/>
      <c r="F4" s="6"/>
      <c r="G4" s="6"/>
      <c r="H4" s="6"/>
      <c r="I4" s="6"/>
    </row>
    <row r="5" spans="2:9" ht="16.5" thickBot="1">
      <c r="B5" s="11" t="s">
        <v>60</v>
      </c>
      <c r="C5" s="18">
        <v>15373754</v>
      </c>
      <c r="D5" s="19">
        <v>12462996</v>
      </c>
      <c r="E5" s="19">
        <v>14531841</v>
      </c>
      <c r="F5" s="19">
        <v>14960507</v>
      </c>
      <c r="G5" s="19">
        <v>14666465</v>
      </c>
      <c r="H5" s="19">
        <v>13288815</v>
      </c>
      <c r="I5" s="20">
        <v>15333777</v>
      </c>
    </row>
    <row r="6" spans="2:9">
      <c r="B6" s="5"/>
      <c r="C6" s="6"/>
      <c r="D6" s="6"/>
      <c r="E6" s="6"/>
      <c r="F6" s="6"/>
      <c r="G6" s="6"/>
      <c r="H6" s="6"/>
      <c r="I6" s="6"/>
    </row>
    <row r="7" spans="2:9">
      <c r="B7" s="7" t="s">
        <v>57</v>
      </c>
      <c r="C7" s="13">
        <v>1538304</v>
      </c>
      <c r="D7" s="13">
        <v>1861398</v>
      </c>
      <c r="E7" s="13">
        <v>1801423</v>
      </c>
      <c r="F7" s="13">
        <v>1689104</v>
      </c>
      <c r="G7" s="13">
        <v>1414630</v>
      </c>
      <c r="H7" s="13">
        <v>1716417</v>
      </c>
      <c r="I7" s="13">
        <v>1681179</v>
      </c>
    </row>
    <row r="8" spans="2:9" ht="15.75">
      <c r="B8" s="4" t="s">
        <v>0</v>
      </c>
      <c r="C8" s="6"/>
      <c r="D8" s="6"/>
      <c r="E8" s="6"/>
      <c r="F8" s="6"/>
      <c r="G8" s="6"/>
      <c r="H8" s="6"/>
      <c r="I8" s="6"/>
    </row>
    <row r="9" spans="2:9">
      <c r="B9" s="1" t="s">
        <v>1</v>
      </c>
      <c r="C9" s="17">
        <v>255000</v>
      </c>
      <c r="D9" s="17">
        <v>1820</v>
      </c>
      <c r="E9" s="17">
        <v>260</v>
      </c>
      <c r="F9" s="17">
        <v>1560</v>
      </c>
      <c r="G9" s="17">
        <v>524320</v>
      </c>
      <c r="H9" s="17">
        <v>0</v>
      </c>
      <c r="I9" s="17">
        <v>262500</v>
      </c>
    </row>
    <row r="10" spans="2:9" ht="16.5" customHeight="1">
      <c r="B10" s="1" t="s">
        <v>2</v>
      </c>
      <c r="C10" s="17">
        <v>1746723</v>
      </c>
      <c r="D10" s="17">
        <v>1085750</v>
      </c>
      <c r="E10" s="17">
        <v>1299660</v>
      </c>
      <c r="F10" s="17">
        <v>1260740</v>
      </c>
      <c r="G10" s="17">
        <v>1568096</v>
      </c>
      <c r="H10" s="17">
        <v>1226146</v>
      </c>
      <c r="I10" s="17">
        <v>1317827</v>
      </c>
    </row>
    <row r="11" spans="2:9">
      <c r="B11" s="1" t="s">
        <v>3</v>
      </c>
      <c r="C11" s="17">
        <v>649122</v>
      </c>
      <c r="D11" s="17">
        <v>522172</v>
      </c>
      <c r="E11" s="17">
        <v>676943</v>
      </c>
      <c r="F11" s="17">
        <v>660802</v>
      </c>
      <c r="G11" s="17">
        <v>444260</v>
      </c>
      <c r="H11" s="17">
        <v>597248</v>
      </c>
      <c r="I11" s="17">
        <v>530059</v>
      </c>
    </row>
    <row r="12" spans="2:9">
      <c r="B12" s="1" t="s">
        <v>4</v>
      </c>
      <c r="C12" s="17">
        <v>938050</v>
      </c>
      <c r="D12" s="17">
        <v>634400</v>
      </c>
      <c r="E12" s="17">
        <v>555940</v>
      </c>
      <c r="F12" s="17">
        <v>617840</v>
      </c>
      <c r="G12" s="17">
        <v>540480</v>
      </c>
      <c r="H12" s="17">
        <v>264800</v>
      </c>
      <c r="I12" s="17">
        <v>468080</v>
      </c>
    </row>
    <row r="13" spans="2:9" ht="15.75" customHeight="1">
      <c r="B13" s="1" t="s">
        <v>5</v>
      </c>
      <c r="C13" s="17">
        <v>268399</v>
      </c>
      <c r="D13" s="17">
        <v>136450</v>
      </c>
      <c r="E13" s="17">
        <v>167100</v>
      </c>
      <c r="F13" s="17">
        <v>145000</v>
      </c>
      <c r="G13" s="17">
        <v>203900</v>
      </c>
      <c r="H13" s="17">
        <v>176900</v>
      </c>
      <c r="I13" s="17">
        <v>292230</v>
      </c>
    </row>
    <row r="14" spans="2:9" ht="15" customHeight="1">
      <c r="B14" s="1" t="s">
        <v>6</v>
      </c>
      <c r="C14" s="17">
        <v>498694</v>
      </c>
      <c r="D14" s="17">
        <v>260289</v>
      </c>
      <c r="E14" s="17">
        <v>540461</v>
      </c>
      <c r="F14" s="17">
        <v>257910</v>
      </c>
      <c r="G14" s="17">
        <v>521215</v>
      </c>
      <c r="H14" s="17">
        <v>251475</v>
      </c>
      <c r="I14" s="17">
        <v>499224</v>
      </c>
    </row>
    <row r="15" spans="2:9" ht="15.75" customHeight="1">
      <c r="B15" s="10" t="s">
        <v>7</v>
      </c>
      <c r="C15" s="17">
        <v>369068</v>
      </c>
      <c r="D15" s="17">
        <v>465306</v>
      </c>
      <c r="E15" s="17">
        <v>247958</v>
      </c>
      <c r="F15" s="17">
        <v>242600</v>
      </c>
      <c r="G15" s="17">
        <v>426204</v>
      </c>
      <c r="H15" s="17">
        <v>344084</v>
      </c>
      <c r="I15" s="17">
        <f>319882+9100</f>
        <v>328982</v>
      </c>
    </row>
    <row r="16" spans="2:9">
      <c r="B16" s="10" t="s">
        <v>8</v>
      </c>
      <c r="C16" s="17">
        <v>3900</v>
      </c>
      <c r="D16" s="17">
        <v>5575</v>
      </c>
      <c r="E16" s="17">
        <v>8960</v>
      </c>
      <c r="F16" s="17">
        <v>7895</v>
      </c>
      <c r="G16" s="17">
        <v>15855</v>
      </c>
      <c r="H16" s="17">
        <v>13025</v>
      </c>
      <c r="I16" s="17">
        <v>12220</v>
      </c>
    </row>
    <row r="17" spans="2:9">
      <c r="B17" s="10" t="s">
        <v>9</v>
      </c>
      <c r="C17" s="17">
        <v>47584</v>
      </c>
      <c r="D17" s="17">
        <v>44824</v>
      </c>
      <c r="E17" s="17">
        <v>37025</v>
      </c>
      <c r="F17" s="17">
        <v>26318</v>
      </c>
      <c r="G17" s="17">
        <v>34312</v>
      </c>
      <c r="H17" s="17">
        <v>28301</v>
      </c>
      <c r="I17" s="17">
        <v>34523</v>
      </c>
    </row>
    <row r="18" spans="2:9">
      <c r="B18" s="10" t="s">
        <v>10</v>
      </c>
      <c r="C18" s="17">
        <v>295765</v>
      </c>
      <c r="D18" s="17">
        <v>181143</v>
      </c>
      <c r="E18" s="17">
        <v>336708</v>
      </c>
      <c r="F18" s="17">
        <v>217018</v>
      </c>
      <c r="G18" s="17">
        <v>393950</v>
      </c>
      <c r="H18" s="17">
        <v>242994</v>
      </c>
      <c r="I18" s="17">
        <v>420493</v>
      </c>
    </row>
    <row r="19" spans="2:9">
      <c r="B19" s="10" t="s">
        <v>11</v>
      </c>
      <c r="C19" s="17">
        <v>29540</v>
      </c>
      <c r="D19" s="17">
        <v>27135</v>
      </c>
      <c r="E19" s="17">
        <v>42713</v>
      </c>
      <c r="F19" s="17">
        <v>57286</v>
      </c>
      <c r="G19" s="17">
        <v>94471</v>
      </c>
      <c r="H19" s="17">
        <v>70854</v>
      </c>
      <c r="I19" s="17">
        <v>74320</v>
      </c>
    </row>
    <row r="20" spans="2:9">
      <c r="B20" s="10" t="s">
        <v>12</v>
      </c>
      <c r="C20" s="17">
        <v>152600</v>
      </c>
      <c r="D20" s="17">
        <v>62400</v>
      </c>
      <c r="E20" s="17">
        <v>50900</v>
      </c>
      <c r="F20" s="17">
        <v>77700</v>
      </c>
      <c r="G20" s="17">
        <v>61650</v>
      </c>
      <c r="H20" s="17">
        <v>42200</v>
      </c>
      <c r="I20" s="17">
        <v>79800</v>
      </c>
    </row>
    <row r="21" spans="2:9">
      <c r="B21" s="10" t="s">
        <v>13</v>
      </c>
      <c r="C21" s="17">
        <v>202840</v>
      </c>
      <c r="D21" s="17">
        <v>197170</v>
      </c>
      <c r="E21" s="17">
        <v>232630</v>
      </c>
      <c r="F21" s="17">
        <v>226550</v>
      </c>
      <c r="G21" s="17">
        <v>244350</v>
      </c>
      <c r="H21" s="17">
        <v>313525</v>
      </c>
      <c r="I21" s="17">
        <v>442000</v>
      </c>
    </row>
    <row r="22" spans="2:9" ht="15.75" customHeight="1">
      <c r="B22" s="10" t="s">
        <v>14</v>
      </c>
      <c r="C22" s="17">
        <v>660680</v>
      </c>
      <c r="D22" s="17">
        <v>528524</v>
      </c>
      <c r="E22" s="17">
        <v>576242</v>
      </c>
      <c r="F22" s="17">
        <v>579887</v>
      </c>
      <c r="G22" s="17">
        <v>738405</v>
      </c>
      <c r="H22" s="17">
        <v>620136</v>
      </c>
      <c r="I22" s="17">
        <v>734766</v>
      </c>
    </row>
    <row r="23" spans="2:9">
      <c r="B23" s="1" t="s">
        <v>15</v>
      </c>
      <c r="C23" s="17">
        <v>38000</v>
      </c>
      <c r="D23" s="17">
        <v>95130</v>
      </c>
      <c r="E23" s="17">
        <v>159390</v>
      </c>
      <c r="F23" s="17">
        <v>42680</v>
      </c>
      <c r="G23" s="17">
        <v>74140</v>
      </c>
      <c r="H23" s="17">
        <v>70455</v>
      </c>
      <c r="I23" s="17">
        <v>66125</v>
      </c>
    </row>
    <row r="24" spans="2:9">
      <c r="B24" s="1" t="s">
        <v>65</v>
      </c>
      <c r="C24" s="17">
        <v>60471</v>
      </c>
      <c r="D24" s="17">
        <v>84099</v>
      </c>
      <c r="E24" s="17">
        <v>85817</v>
      </c>
      <c r="F24" s="17">
        <v>108830</v>
      </c>
      <c r="G24" s="17">
        <v>124800</v>
      </c>
      <c r="H24" s="17">
        <v>69555</v>
      </c>
      <c r="I24" s="17">
        <v>175453</v>
      </c>
    </row>
    <row r="25" spans="2:9">
      <c r="B25" s="1" t="s">
        <v>66</v>
      </c>
      <c r="C25" s="17">
        <v>7130</v>
      </c>
      <c r="D25" s="17">
        <v>30000</v>
      </c>
      <c r="E25" s="17">
        <v>0</v>
      </c>
      <c r="F25" s="17">
        <v>0</v>
      </c>
      <c r="G25" s="17">
        <v>0</v>
      </c>
      <c r="H25" s="17">
        <v>1100</v>
      </c>
      <c r="I25" s="17">
        <v>1760</v>
      </c>
    </row>
    <row r="26" spans="2:9">
      <c r="B26" s="1" t="s">
        <v>67</v>
      </c>
      <c r="C26" s="17">
        <v>673950</v>
      </c>
      <c r="D26" s="17">
        <v>900515</v>
      </c>
      <c r="E26" s="17">
        <v>1494200</v>
      </c>
      <c r="F26" s="17">
        <v>895675</v>
      </c>
      <c r="G26" s="17">
        <v>497185</v>
      </c>
      <c r="H26" s="17">
        <v>395493</v>
      </c>
      <c r="I26" s="17">
        <v>633579</v>
      </c>
    </row>
    <row r="27" spans="2:9">
      <c r="B27" s="1" t="s">
        <v>68</v>
      </c>
      <c r="C27" s="17">
        <v>31806</v>
      </c>
      <c r="D27" s="17">
        <v>30294</v>
      </c>
      <c r="E27" s="17">
        <v>28836</v>
      </c>
      <c r="F27" s="17">
        <v>30834</v>
      </c>
      <c r="G27" s="17">
        <v>39600</v>
      </c>
      <c r="H27" s="17">
        <v>57440</v>
      </c>
      <c r="I27" s="17">
        <v>40140</v>
      </c>
    </row>
    <row r="28" spans="2:9">
      <c r="C28" s="2"/>
      <c r="D28" s="2"/>
      <c r="E28" s="2"/>
      <c r="F28" s="2"/>
      <c r="G28" s="2"/>
      <c r="H28" s="2"/>
    </row>
    <row r="29" spans="2:9" ht="16.5" thickBot="1">
      <c r="B29" s="11" t="s">
        <v>61</v>
      </c>
      <c r="C29" s="9">
        <f t="shared" ref="C29:I29" si="0">SUM(C9:C28)</f>
        <v>6929322</v>
      </c>
      <c r="D29" s="9">
        <f t="shared" si="0"/>
        <v>5292996</v>
      </c>
      <c r="E29" s="9">
        <f t="shared" si="0"/>
        <v>6541743</v>
      </c>
      <c r="F29" s="9">
        <f t="shared" si="0"/>
        <v>5457125</v>
      </c>
      <c r="G29" s="9">
        <f t="shared" si="0"/>
        <v>6547193</v>
      </c>
      <c r="H29" s="9">
        <f t="shared" si="0"/>
        <v>4785731</v>
      </c>
      <c r="I29" s="9">
        <f t="shared" si="0"/>
        <v>6414081</v>
      </c>
    </row>
    <row r="30" spans="2:9" ht="15.75" thickTop="1">
      <c r="C30" s="8"/>
      <c r="D30" s="8"/>
      <c r="E30" s="8"/>
      <c r="F30" s="8"/>
      <c r="G30" s="8"/>
      <c r="H30" s="8"/>
      <c r="I30" s="8"/>
    </row>
    <row r="31" spans="2:9">
      <c r="B31" s="7" t="s">
        <v>58</v>
      </c>
      <c r="C31" s="14">
        <v>-1861398</v>
      </c>
      <c r="D31" s="14">
        <f>-E7</f>
        <v>-1801423</v>
      </c>
      <c r="E31" s="14">
        <f>-F7</f>
        <v>-1689104</v>
      </c>
      <c r="F31" s="14">
        <f>-G7</f>
        <v>-1414630</v>
      </c>
      <c r="G31" s="14">
        <f>-H7</f>
        <v>-1716417</v>
      </c>
      <c r="H31" s="14">
        <f>-I7</f>
        <v>-1681179</v>
      </c>
      <c r="I31" s="14">
        <v>-1544089</v>
      </c>
    </row>
    <row r="32" spans="2:9" ht="15.75" thickBot="1"/>
    <row r="33" spans="2:9" ht="15.75">
      <c r="B33" s="33" t="s">
        <v>59</v>
      </c>
      <c r="C33" s="34">
        <f t="shared" ref="C33:I33" si="1">+C7+C29+C31</f>
        <v>6606228</v>
      </c>
      <c r="D33" s="34">
        <f t="shared" si="1"/>
        <v>5352971</v>
      </c>
      <c r="E33" s="34">
        <f t="shared" si="1"/>
        <v>6654062</v>
      </c>
      <c r="F33" s="34">
        <f t="shared" si="1"/>
        <v>5731599</v>
      </c>
      <c r="G33" s="34">
        <f t="shared" si="1"/>
        <v>6245406</v>
      </c>
      <c r="H33" s="34">
        <f t="shared" si="1"/>
        <v>4820969</v>
      </c>
      <c r="I33" s="35">
        <f t="shared" si="1"/>
        <v>6551171</v>
      </c>
    </row>
    <row r="34" spans="2:9" ht="15.75" thickBot="1">
      <c r="B34" s="24" t="s">
        <v>62</v>
      </c>
      <c r="C34" s="25">
        <f>+C33/C5*100</f>
        <v>42.970818968483556</v>
      </c>
      <c r="D34" s="25">
        <f t="shared" ref="D34:I34" si="2">+D33/D5*100</f>
        <v>42.950916457006002</v>
      </c>
      <c r="E34" s="25">
        <f t="shared" si="2"/>
        <v>45.789532104019031</v>
      </c>
      <c r="F34" s="25">
        <f t="shared" si="2"/>
        <v>38.311529148042908</v>
      </c>
      <c r="G34" s="25">
        <f t="shared" si="2"/>
        <v>42.582899151226968</v>
      </c>
      <c r="H34" s="25">
        <f t="shared" si="2"/>
        <v>36.278396531218171</v>
      </c>
      <c r="I34" s="26">
        <f t="shared" si="2"/>
        <v>42.723792057234171</v>
      </c>
    </row>
    <row r="43" spans="2:9">
      <c r="B43" s="12" t="s">
        <v>63</v>
      </c>
    </row>
    <row r="45" spans="2:9">
      <c r="B45" s="1" t="s">
        <v>16</v>
      </c>
      <c r="C45" s="15">
        <v>213597</v>
      </c>
      <c r="D45" s="15">
        <v>218538</v>
      </c>
      <c r="E45" s="15">
        <v>209744</v>
      </c>
      <c r="F45" s="15">
        <v>218371</v>
      </c>
      <c r="G45" s="15">
        <v>440226</v>
      </c>
      <c r="H45" s="15">
        <v>543554</v>
      </c>
      <c r="I45" s="15">
        <v>621937</v>
      </c>
    </row>
    <row r="46" spans="2:9">
      <c r="B46" s="1" t="s">
        <v>69</v>
      </c>
      <c r="C46" s="15">
        <v>207800</v>
      </c>
      <c r="D46" s="15">
        <v>283780</v>
      </c>
      <c r="E46" s="15">
        <v>301780</v>
      </c>
      <c r="F46" s="15">
        <v>207290</v>
      </c>
      <c r="G46" s="15">
        <v>306190</v>
      </c>
      <c r="H46" s="15">
        <v>313180</v>
      </c>
      <c r="I46" s="15">
        <v>292830</v>
      </c>
    </row>
    <row r="47" spans="2:9">
      <c r="B47" s="1" t="s">
        <v>17</v>
      </c>
      <c r="C47" s="15">
        <v>14056</v>
      </c>
      <c r="D47" s="15">
        <v>13842</v>
      </c>
      <c r="E47" s="15">
        <v>13752</v>
      </c>
      <c r="F47" s="15">
        <v>13962</v>
      </c>
      <c r="G47" s="15">
        <v>14283</v>
      </c>
      <c r="H47" s="15">
        <v>14743</v>
      </c>
      <c r="I47" s="15">
        <v>15963</v>
      </c>
    </row>
    <row r="48" spans="2:9">
      <c r="B48" s="1" t="s">
        <v>18</v>
      </c>
      <c r="C48" s="15">
        <v>18976</v>
      </c>
      <c r="D48" s="15">
        <v>18976</v>
      </c>
      <c r="E48" s="15">
        <v>18976</v>
      </c>
      <c r="F48" s="15">
        <v>18976</v>
      </c>
      <c r="G48" s="15">
        <v>18976</v>
      </c>
      <c r="H48" s="15">
        <v>18976</v>
      </c>
      <c r="I48" s="15">
        <v>19658</v>
      </c>
    </row>
    <row r="49" spans="2:9">
      <c r="B49" s="1" t="s">
        <v>19</v>
      </c>
      <c r="C49" s="15">
        <v>1100000</v>
      </c>
      <c r="D49" s="15">
        <v>1100000</v>
      </c>
      <c r="E49" s="15">
        <v>1100000</v>
      </c>
      <c r="F49" s="15">
        <v>1100000</v>
      </c>
      <c r="G49" s="15">
        <v>1100000</v>
      </c>
      <c r="H49" s="15">
        <v>1100000</v>
      </c>
      <c r="I49" s="15">
        <v>1210000</v>
      </c>
    </row>
    <row r="50" spans="2:9">
      <c r="B50" s="1" t="s">
        <v>20</v>
      </c>
      <c r="C50" s="15">
        <v>47552</v>
      </c>
      <c r="D50" s="15">
        <v>47552</v>
      </c>
      <c r="E50" s="15">
        <v>47552</v>
      </c>
      <c r="F50" s="15">
        <v>391208</v>
      </c>
      <c r="G50" s="15">
        <v>47552</v>
      </c>
      <c r="H50" s="15">
        <v>48960</v>
      </c>
      <c r="I50" s="15">
        <v>48960</v>
      </c>
    </row>
    <row r="51" spans="2:9">
      <c r="B51" s="1" t="s">
        <v>21</v>
      </c>
      <c r="C51" s="15">
        <v>48000</v>
      </c>
      <c r="D51" s="15">
        <v>48000</v>
      </c>
      <c r="E51" s="15">
        <v>48000</v>
      </c>
      <c r="F51" s="15">
        <v>48000</v>
      </c>
      <c r="G51" s="15">
        <v>48000</v>
      </c>
      <c r="H51" s="15">
        <v>48000</v>
      </c>
      <c r="I51" s="15">
        <v>48000</v>
      </c>
    </row>
    <row r="52" spans="2:9">
      <c r="B52" s="1" t="s">
        <v>22</v>
      </c>
      <c r="C52" s="15">
        <v>580</v>
      </c>
      <c r="D52" s="15">
        <v>960</v>
      </c>
      <c r="E52" s="15">
        <v>895</v>
      </c>
      <c r="F52" s="15">
        <v>740</v>
      </c>
      <c r="G52" s="15">
        <v>270</v>
      </c>
      <c r="H52" s="15">
        <v>1005</v>
      </c>
      <c r="I52" s="15">
        <v>480</v>
      </c>
    </row>
    <row r="53" spans="2:9">
      <c r="B53" s="1" t="s">
        <v>75</v>
      </c>
      <c r="C53" s="15">
        <v>1105</v>
      </c>
      <c r="D53" s="15">
        <v>1105</v>
      </c>
      <c r="E53" s="15">
        <v>1000</v>
      </c>
      <c r="F53" s="15">
        <v>1040</v>
      </c>
      <c r="G53" s="15">
        <v>1070</v>
      </c>
      <c r="H53" s="15">
        <v>2170</v>
      </c>
      <c r="I53" s="15">
        <v>1290</v>
      </c>
    </row>
    <row r="54" spans="2:9">
      <c r="B54" s="1" t="s">
        <v>23</v>
      </c>
      <c r="C54" s="15">
        <v>0</v>
      </c>
      <c r="D54" s="15">
        <v>9860</v>
      </c>
      <c r="E54" s="15">
        <v>21370</v>
      </c>
      <c r="F54" s="15">
        <v>14546</v>
      </c>
      <c r="G54" s="15">
        <v>0</v>
      </c>
      <c r="H54" s="15">
        <v>0</v>
      </c>
      <c r="I54" s="15">
        <v>0</v>
      </c>
    </row>
    <row r="55" spans="2:9">
      <c r="B55" s="1" t="s">
        <v>24</v>
      </c>
      <c r="C55" s="15">
        <v>33400</v>
      </c>
      <c r="D55" s="15">
        <v>66210</v>
      </c>
      <c r="E55" s="15">
        <v>9920</v>
      </c>
      <c r="F55" s="15">
        <v>57780</v>
      </c>
      <c r="G55" s="15">
        <v>25600</v>
      </c>
      <c r="H55" s="15">
        <v>1850</v>
      </c>
      <c r="I55" s="15">
        <v>9100</v>
      </c>
    </row>
    <row r="56" spans="2:9">
      <c r="B56" s="1" t="s">
        <v>25</v>
      </c>
      <c r="C56" s="15">
        <v>88093</v>
      </c>
      <c r="D56" s="15">
        <v>67411</v>
      </c>
      <c r="E56" s="15">
        <v>72866</v>
      </c>
      <c r="F56" s="15">
        <v>63599</v>
      </c>
      <c r="G56" s="15">
        <v>70847</v>
      </c>
      <c r="H56" s="15">
        <v>61744</v>
      </c>
      <c r="I56" s="15">
        <v>84960</v>
      </c>
    </row>
    <row r="57" spans="2:9">
      <c r="B57" s="1" t="s">
        <v>26</v>
      </c>
      <c r="C57" s="15">
        <v>14940</v>
      </c>
      <c r="D57" s="15">
        <v>5450</v>
      </c>
      <c r="E57" s="15">
        <v>10630</v>
      </c>
      <c r="F57" s="15">
        <v>6650</v>
      </c>
      <c r="G57" s="15">
        <v>7410</v>
      </c>
      <c r="H57" s="15">
        <v>13780</v>
      </c>
      <c r="I57" s="15">
        <v>10390</v>
      </c>
    </row>
    <row r="58" spans="2:9">
      <c r="B58" s="1" t="s">
        <v>27</v>
      </c>
      <c r="C58" s="15">
        <v>275740</v>
      </c>
      <c r="D58" s="15">
        <v>183635</v>
      </c>
      <c r="E58" s="15">
        <v>109190</v>
      </c>
      <c r="F58" s="15">
        <v>136250</v>
      </c>
      <c r="G58" s="15">
        <v>196674</v>
      </c>
      <c r="H58" s="15">
        <v>281297</v>
      </c>
      <c r="I58" s="15">
        <v>218115</v>
      </c>
    </row>
    <row r="59" spans="2:9">
      <c r="B59" s="1" t="s">
        <v>28</v>
      </c>
      <c r="C59" s="15">
        <v>617419</v>
      </c>
      <c r="D59" s="15">
        <v>500364</v>
      </c>
      <c r="E59" s="15">
        <v>632112</v>
      </c>
      <c r="F59" s="15">
        <v>641020</v>
      </c>
      <c r="G59" s="15">
        <v>672035</v>
      </c>
      <c r="H59" s="15">
        <v>560209</v>
      </c>
      <c r="I59" s="15">
        <v>642733</v>
      </c>
    </row>
    <row r="60" spans="2:9">
      <c r="B60" s="1" t="s">
        <v>29</v>
      </c>
      <c r="C60" s="15">
        <v>720</v>
      </c>
      <c r="D60" s="15">
        <v>200</v>
      </c>
      <c r="E60" s="15">
        <v>1070</v>
      </c>
      <c r="F60" s="15">
        <v>160</v>
      </c>
      <c r="G60" s="15">
        <v>3480</v>
      </c>
      <c r="H60" s="15">
        <v>1630</v>
      </c>
      <c r="I60" s="15">
        <v>1600</v>
      </c>
    </row>
    <row r="61" spans="2:9">
      <c r="B61" s="1" t="s">
        <v>30</v>
      </c>
      <c r="C61" s="15">
        <v>29373</v>
      </c>
      <c r="D61" s="15">
        <v>231791</v>
      </c>
      <c r="E61" s="15">
        <v>29640</v>
      </c>
      <c r="F61" s="15">
        <v>53560</v>
      </c>
      <c r="G61" s="15">
        <v>16410</v>
      </c>
      <c r="H61" s="15">
        <v>30850</v>
      </c>
      <c r="I61" s="15">
        <v>54770</v>
      </c>
    </row>
    <row r="62" spans="2:9">
      <c r="B62" s="1" t="s">
        <v>31</v>
      </c>
      <c r="C62" s="15">
        <v>6435</v>
      </c>
      <c r="D62" s="15">
        <v>5850</v>
      </c>
      <c r="E62" s="15">
        <v>7020</v>
      </c>
      <c r="F62" s="15">
        <v>6435</v>
      </c>
      <c r="G62" s="15">
        <v>6435</v>
      </c>
      <c r="H62" s="15">
        <v>6435</v>
      </c>
      <c r="I62" s="15">
        <v>6435</v>
      </c>
    </row>
    <row r="63" spans="2:9">
      <c r="B63" s="1" t="s">
        <v>32</v>
      </c>
      <c r="C63" s="15">
        <v>31454</v>
      </c>
      <c r="D63" s="15">
        <v>19267</v>
      </c>
      <c r="E63" s="15">
        <v>100550</v>
      </c>
      <c r="F63" s="15">
        <v>115563</v>
      </c>
      <c r="G63" s="15">
        <v>127531</v>
      </c>
      <c r="H63" s="15">
        <v>96179</v>
      </c>
      <c r="I63" s="15">
        <v>47256</v>
      </c>
    </row>
    <row r="64" spans="2:9">
      <c r="B64" s="1" t="s">
        <v>33</v>
      </c>
      <c r="C64" s="15">
        <v>580</v>
      </c>
      <c r="D64" s="15">
        <v>1300</v>
      </c>
      <c r="E64" s="15">
        <v>500</v>
      </c>
      <c r="F64" s="15">
        <v>500</v>
      </c>
      <c r="G64" s="15">
        <v>7000</v>
      </c>
      <c r="H64" s="15">
        <v>0</v>
      </c>
      <c r="I64" s="15">
        <v>500</v>
      </c>
    </row>
    <row r="65" spans="2:9">
      <c r="B65" s="1" t="s">
        <v>70</v>
      </c>
      <c r="C65" s="15">
        <v>9000</v>
      </c>
      <c r="D65" s="15">
        <v>0</v>
      </c>
      <c r="E65" s="15">
        <v>0</v>
      </c>
      <c r="F65" s="15">
        <v>79000</v>
      </c>
      <c r="G65" s="15">
        <v>0</v>
      </c>
      <c r="H65" s="15">
        <v>90000</v>
      </c>
      <c r="I65" s="15">
        <v>9000</v>
      </c>
    </row>
    <row r="66" spans="2:9">
      <c r="B66" s="1" t="s">
        <v>34</v>
      </c>
      <c r="C66" s="15">
        <v>0</v>
      </c>
      <c r="D66" s="15">
        <v>0</v>
      </c>
      <c r="E66" s="15">
        <v>508461</v>
      </c>
      <c r="F66" s="15">
        <v>6000</v>
      </c>
      <c r="G66" s="15">
        <v>346500</v>
      </c>
      <c r="H66" s="15">
        <v>485109</v>
      </c>
      <c r="I66" s="15">
        <v>35000</v>
      </c>
    </row>
    <row r="67" spans="2:9">
      <c r="B67" s="1" t="s">
        <v>35</v>
      </c>
      <c r="C67" s="15">
        <v>3000</v>
      </c>
      <c r="D67" s="15">
        <v>43200</v>
      </c>
      <c r="E67" s="15">
        <v>0</v>
      </c>
      <c r="F67" s="15">
        <v>82200</v>
      </c>
      <c r="G67" s="15">
        <v>16700</v>
      </c>
      <c r="H67" s="15">
        <v>34600</v>
      </c>
      <c r="I67" s="15">
        <v>10600</v>
      </c>
    </row>
    <row r="68" spans="2:9">
      <c r="B68" s="1" t="s">
        <v>36</v>
      </c>
      <c r="C68" s="15">
        <v>350</v>
      </c>
      <c r="D68" s="15">
        <v>0</v>
      </c>
      <c r="E68" s="15">
        <v>0</v>
      </c>
      <c r="F68" s="15">
        <v>2763</v>
      </c>
      <c r="G68" s="15">
        <v>0</v>
      </c>
      <c r="H68" s="15">
        <v>0</v>
      </c>
      <c r="I68" s="15">
        <v>4218</v>
      </c>
    </row>
    <row r="69" spans="2:9">
      <c r="B69" s="1" t="s">
        <v>37</v>
      </c>
      <c r="C69" s="15">
        <v>16000</v>
      </c>
      <c r="D69" s="15">
        <v>33280</v>
      </c>
      <c r="E69" s="15">
        <v>8500</v>
      </c>
      <c r="F69" s="15">
        <v>14000</v>
      </c>
      <c r="G69" s="15">
        <v>30000</v>
      </c>
      <c r="H69" s="15">
        <v>37000</v>
      </c>
      <c r="I69" s="15">
        <v>9800</v>
      </c>
    </row>
    <row r="70" spans="2:9">
      <c r="B70" s="1" t="s">
        <v>38</v>
      </c>
      <c r="C70" s="15">
        <v>251020</v>
      </c>
      <c r="D70" s="15">
        <v>-15830</v>
      </c>
      <c r="E70" s="15">
        <v>46660</v>
      </c>
      <c r="F70" s="15">
        <v>33550</v>
      </c>
      <c r="G70" s="15">
        <v>4010</v>
      </c>
      <c r="H70" s="15">
        <v>79560</v>
      </c>
      <c r="I70" s="15">
        <v>38060</v>
      </c>
    </row>
    <row r="71" spans="2:9">
      <c r="B71" s="1" t="s">
        <v>39</v>
      </c>
      <c r="C71" s="15">
        <v>1900</v>
      </c>
      <c r="D71" s="15">
        <v>0</v>
      </c>
      <c r="E71" s="15">
        <v>0</v>
      </c>
      <c r="F71" s="15">
        <v>0</v>
      </c>
      <c r="G71" s="15">
        <v>0</v>
      </c>
      <c r="H71" s="15">
        <v>3350</v>
      </c>
      <c r="I71" s="15">
        <v>0</v>
      </c>
    </row>
    <row r="72" spans="2:9">
      <c r="B72" s="1" t="s">
        <v>40</v>
      </c>
      <c r="C72" s="15">
        <v>27900</v>
      </c>
      <c r="D72" s="15">
        <v>3000</v>
      </c>
      <c r="E72" s="15">
        <v>19600</v>
      </c>
      <c r="F72" s="15">
        <v>0</v>
      </c>
      <c r="G72" s="15">
        <v>0</v>
      </c>
      <c r="H72" s="15">
        <v>0</v>
      </c>
      <c r="I72" s="15">
        <v>12620</v>
      </c>
    </row>
    <row r="73" spans="2:9">
      <c r="B73" s="1" t="s">
        <v>41</v>
      </c>
      <c r="C73" s="15">
        <v>682000</v>
      </c>
      <c r="D73" s="15">
        <v>543000</v>
      </c>
      <c r="E73" s="15">
        <v>781000</v>
      </c>
      <c r="F73" s="15">
        <v>876500</v>
      </c>
      <c r="G73" s="15">
        <v>782000</v>
      </c>
      <c r="H73" s="15">
        <v>781500</v>
      </c>
      <c r="I73" s="15">
        <v>706990</v>
      </c>
    </row>
    <row r="74" spans="2:9">
      <c r="B74" s="1" t="s">
        <v>42</v>
      </c>
      <c r="C74" s="15">
        <v>2500</v>
      </c>
      <c r="D74" s="15">
        <v>2500</v>
      </c>
      <c r="E74" s="15">
        <v>2500</v>
      </c>
      <c r="F74" s="15">
        <v>2500</v>
      </c>
      <c r="G74" s="15">
        <v>3000</v>
      </c>
      <c r="H74" s="15">
        <v>3000</v>
      </c>
      <c r="I74" s="15">
        <v>3000</v>
      </c>
    </row>
    <row r="75" spans="2:9">
      <c r="B75" s="1" t="s">
        <v>43</v>
      </c>
      <c r="C75" s="15">
        <v>2160</v>
      </c>
      <c r="D75" s="15">
        <v>4670</v>
      </c>
      <c r="E75" s="15">
        <v>2190</v>
      </c>
      <c r="F75" s="15">
        <v>2580</v>
      </c>
      <c r="G75" s="15">
        <v>3600</v>
      </c>
      <c r="H75" s="15">
        <v>2400</v>
      </c>
      <c r="I75" s="15">
        <v>1858</v>
      </c>
    </row>
    <row r="76" spans="2:9">
      <c r="B76" s="1" t="s">
        <v>71</v>
      </c>
      <c r="C76" s="15">
        <v>64874</v>
      </c>
      <c r="D76" s="15">
        <v>74888</v>
      </c>
      <c r="E76" s="15">
        <v>0</v>
      </c>
      <c r="F76" s="15">
        <v>20228</v>
      </c>
      <c r="G76" s="15">
        <v>332980</v>
      </c>
      <c r="H76" s="15">
        <v>660</v>
      </c>
      <c r="I76" s="15">
        <v>137783</v>
      </c>
    </row>
    <row r="77" spans="2:9">
      <c r="B77" s="1" t="s">
        <v>44</v>
      </c>
      <c r="C77" s="15">
        <v>14000</v>
      </c>
      <c r="D77" s="15">
        <v>710</v>
      </c>
      <c r="E77" s="15">
        <v>20700</v>
      </c>
      <c r="F77" s="15">
        <v>11550</v>
      </c>
      <c r="G77" s="15">
        <v>3950</v>
      </c>
      <c r="H77" s="15">
        <v>1100</v>
      </c>
      <c r="I77" s="15">
        <v>14870</v>
      </c>
    </row>
    <row r="78" spans="2:9">
      <c r="B78" s="1" t="s">
        <v>45</v>
      </c>
      <c r="C78" s="15">
        <v>33610</v>
      </c>
      <c r="D78" s="15">
        <v>33610</v>
      </c>
      <c r="E78" s="15">
        <v>33610</v>
      </c>
      <c r="F78" s="15">
        <v>33610</v>
      </c>
      <c r="G78" s="15">
        <v>33610</v>
      </c>
      <c r="H78" s="15">
        <v>36610</v>
      </c>
      <c r="I78" s="15">
        <v>36610</v>
      </c>
    </row>
    <row r="79" spans="2:9">
      <c r="B79" s="1" t="s">
        <v>46</v>
      </c>
      <c r="C79" s="15">
        <v>4185</v>
      </c>
      <c r="D79" s="15">
        <v>5280</v>
      </c>
      <c r="E79" s="15">
        <v>0</v>
      </c>
      <c r="F79" s="15">
        <v>21940</v>
      </c>
      <c r="G79" s="15">
        <v>11642</v>
      </c>
      <c r="H79" s="15">
        <v>15289</v>
      </c>
      <c r="I79" s="15">
        <v>16497</v>
      </c>
    </row>
    <row r="80" spans="2:9">
      <c r="B80" s="1" t="s">
        <v>47</v>
      </c>
      <c r="C80" s="15">
        <v>78166</v>
      </c>
      <c r="D80" s="15">
        <v>42150</v>
      </c>
      <c r="E80" s="15">
        <v>0</v>
      </c>
      <c r="F80" s="15">
        <v>203640</v>
      </c>
      <c r="G80" s="15">
        <v>18840</v>
      </c>
      <c r="H80" s="15">
        <v>120000</v>
      </c>
      <c r="I80" s="15">
        <v>28860</v>
      </c>
    </row>
    <row r="81" spans="2:9">
      <c r="B81" s="1" t="s">
        <v>48</v>
      </c>
      <c r="C81" s="15">
        <v>5000</v>
      </c>
      <c r="D81" s="15">
        <v>5000</v>
      </c>
      <c r="E81" s="15">
        <v>20000</v>
      </c>
      <c r="F81" s="15">
        <v>5000</v>
      </c>
      <c r="G81" s="15">
        <v>5000</v>
      </c>
      <c r="H81" s="15">
        <v>5000</v>
      </c>
      <c r="I81" s="15">
        <v>5000</v>
      </c>
    </row>
    <row r="82" spans="2:9">
      <c r="B82" s="1" t="s">
        <v>49</v>
      </c>
      <c r="C82" s="15">
        <v>87260</v>
      </c>
      <c r="D82" s="15">
        <v>55880</v>
      </c>
      <c r="E82" s="15">
        <v>51710</v>
      </c>
      <c r="F82" s="15">
        <v>146490</v>
      </c>
      <c r="G82" s="15">
        <v>55100</v>
      </c>
      <c r="H82" s="15">
        <v>106226</v>
      </c>
      <c r="I82" s="15">
        <v>107310</v>
      </c>
    </row>
    <row r="83" spans="2:9">
      <c r="B83" s="1" t="s">
        <v>50</v>
      </c>
      <c r="C83" s="15">
        <v>10800</v>
      </c>
      <c r="D83" s="15">
        <v>11200</v>
      </c>
      <c r="E83" s="15">
        <v>400</v>
      </c>
      <c r="F83" s="15">
        <v>11000</v>
      </c>
      <c r="G83" s="15">
        <v>23414</v>
      </c>
      <c r="H83" s="15">
        <v>0</v>
      </c>
      <c r="I83" s="15">
        <v>13040</v>
      </c>
    </row>
    <row r="84" spans="2:9">
      <c r="B84" s="1" t="s">
        <v>77</v>
      </c>
      <c r="C84" s="15">
        <v>29330</v>
      </c>
      <c r="D84" s="15">
        <v>42066</v>
      </c>
      <c r="E84" s="15">
        <v>22410</v>
      </c>
      <c r="F84" s="15">
        <v>68130</v>
      </c>
      <c r="G84" s="15">
        <v>132920</v>
      </c>
      <c r="H84" s="15">
        <v>51750</v>
      </c>
      <c r="I84" s="15">
        <v>75520</v>
      </c>
    </row>
    <row r="85" spans="2:9">
      <c r="B85" s="1" t="s">
        <v>51</v>
      </c>
      <c r="C85" s="15">
        <v>0</v>
      </c>
      <c r="D85" s="15">
        <v>0</v>
      </c>
      <c r="E85" s="15">
        <v>0</v>
      </c>
      <c r="F85" s="15">
        <v>0</v>
      </c>
      <c r="G85" s="15">
        <v>22000</v>
      </c>
      <c r="H85" s="15">
        <v>155600</v>
      </c>
      <c r="I85" s="15">
        <v>4500</v>
      </c>
    </row>
    <row r="86" spans="2:9">
      <c r="B86" s="1" t="s">
        <v>52</v>
      </c>
      <c r="C86" s="15">
        <v>340</v>
      </c>
      <c r="D86" s="15">
        <v>600</v>
      </c>
      <c r="E86" s="15">
        <v>340</v>
      </c>
      <c r="F86" s="15">
        <v>13670</v>
      </c>
      <c r="G86" s="15">
        <v>17180</v>
      </c>
      <c r="H86" s="15">
        <v>28500</v>
      </c>
      <c r="I86" s="15">
        <v>570</v>
      </c>
    </row>
    <row r="87" spans="2:9">
      <c r="B87" s="1" t="s">
        <v>53</v>
      </c>
      <c r="C87" s="15">
        <v>13930</v>
      </c>
      <c r="D87" s="15">
        <v>94030</v>
      </c>
      <c r="E87" s="15">
        <v>13786</v>
      </c>
      <c r="F87" s="15">
        <v>16230</v>
      </c>
      <c r="G87" s="15">
        <v>29160</v>
      </c>
      <c r="H87" s="15">
        <v>271515</v>
      </c>
      <c r="I87" s="15">
        <v>63810</v>
      </c>
    </row>
    <row r="88" spans="2:9">
      <c r="B88" s="1" t="s">
        <v>73</v>
      </c>
      <c r="C88" s="15">
        <v>2910</v>
      </c>
      <c r="D88" s="15">
        <v>16500</v>
      </c>
      <c r="E88" s="15">
        <v>26110</v>
      </c>
      <c r="F88" s="15">
        <v>13952</v>
      </c>
      <c r="G88" s="15">
        <v>2600</v>
      </c>
      <c r="H88" s="15">
        <v>1080</v>
      </c>
      <c r="I88" s="15">
        <v>6000</v>
      </c>
    </row>
    <row r="89" spans="2:9">
      <c r="B89" s="1" t="s">
        <v>54</v>
      </c>
      <c r="C89" s="15">
        <v>6600</v>
      </c>
      <c r="D89" s="15">
        <v>5040</v>
      </c>
      <c r="E89" s="15">
        <v>4840</v>
      </c>
      <c r="F89" s="15">
        <v>2400</v>
      </c>
      <c r="G89" s="15">
        <v>2600</v>
      </c>
      <c r="H89" s="15">
        <v>6500</v>
      </c>
      <c r="I89" s="15"/>
    </row>
    <row r="90" spans="2:9">
      <c r="B90" s="1" t="s">
        <v>55</v>
      </c>
      <c r="C90" s="15">
        <v>1711640</v>
      </c>
      <c r="D90" s="15">
        <v>1739952</v>
      </c>
      <c r="E90" s="15">
        <v>1843714</v>
      </c>
      <c r="F90" s="15">
        <v>1808974</v>
      </c>
      <c r="G90" s="15">
        <v>1793487</v>
      </c>
      <c r="H90" s="15">
        <v>1730928</v>
      </c>
      <c r="I90" s="15">
        <v>1720216</v>
      </c>
    </row>
    <row r="91" spans="2:9">
      <c r="B91" s="1" t="s">
        <v>56</v>
      </c>
      <c r="C91" s="15">
        <v>30763</v>
      </c>
      <c r="D91" s="15">
        <v>16579</v>
      </c>
      <c r="E91" s="15">
        <v>43314</v>
      </c>
      <c r="F91" s="15">
        <v>25028</v>
      </c>
      <c r="G91" s="15">
        <v>22076</v>
      </c>
      <c r="H91" s="15">
        <v>31104</v>
      </c>
      <c r="I91" s="15">
        <v>26864</v>
      </c>
    </row>
    <row r="92" spans="2:9">
      <c r="B92" s="1" t="s">
        <v>72</v>
      </c>
      <c r="C92" s="15">
        <v>2100</v>
      </c>
      <c r="D92" s="15">
        <v>8450</v>
      </c>
      <c r="E92" s="15">
        <v>17500</v>
      </c>
      <c r="F92" s="15">
        <v>0</v>
      </c>
      <c r="G92" s="15">
        <v>2750</v>
      </c>
      <c r="H92" s="15">
        <v>0</v>
      </c>
      <c r="I92" s="15">
        <v>4110</v>
      </c>
    </row>
    <row r="93" spans="2:9">
      <c r="B93" s="1" t="s">
        <v>76</v>
      </c>
      <c r="C93" s="15">
        <v>0</v>
      </c>
      <c r="D93" s="15">
        <v>6000</v>
      </c>
      <c r="E93" s="15">
        <v>16000</v>
      </c>
      <c r="F93" s="15">
        <v>0</v>
      </c>
      <c r="G93" s="15">
        <v>0</v>
      </c>
      <c r="H93" s="15">
        <v>6750</v>
      </c>
      <c r="I93" s="15">
        <v>0</v>
      </c>
    </row>
    <row r="94" spans="2:9">
      <c r="B94" s="1" t="s">
        <v>78</v>
      </c>
      <c r="C94" s="15">
        <v>0</v>
      </c>
      <c r="D94" s="15">
        <v>0</v>
      </c>
      <c r="E94" s="15">
        <v>0</v>
      </c>
      <c r="F94" s="15">
        <v>0</v>
      </c>
      <c r="G94" s="15">
        <v>38000</v>
      </c>
      <c r="H94" s="15">
        <v>23200</v>
      </c>
      <c r="I94" s="15">
        <v>0</v>
      </c>
    </row>
    <row r="95" spans="2:9" ht="15.75" thickBot="1">
      <c r="B95" s="1"/>
      <c r="C95" s="15"/>
      <c r="D95" s="15"/>
      <c r="E95" s="15"/>
      <c r="F95" s="15"/>
      <c r="G95" s="15"/>
      <c r="H95" s="15"/>
      <c r="I95" s="15"/>
    </row>
    <row r="96" spans="2:9">
      <c r="B96" s="27"/>
      <c r="C96" s="28"/>
      <c r="D96" s="28"/>
      <c r="E96" s="28"/>
      <c r="F96" s="28"/>
      <c r="G96" s="28"/>
      <c r="H96" s="28"/>
      <c r="I96" s="29"/>
    </row>
    <row r="97" spans="2:9" ht="16.5" thickBot="1">
      <c r="B97" s="30" t="s">
        <v>64</v>
      </c>
      <c r="C97" s="9">
        <f t="shared" ref="C97:I97" si="3">SUM(C45:C94)</f>
        <v>5841158</v>
      </c>
      <c r="D97" s="9">
        <f t="shared" si="3"/>
        <v>5595846</v>
      </c>
      <c r="E97" s="9">
        <f t="shared" si="3"/>
        <v>6219912</v>
      </c>
      <c r="F97" s="9">
        <f t="shared" si="3"/>
        <v>6596585</v>
      </c>
      <c r="G97" s="9">
        <f t="shared" si="3"/>
        <v>6843108</v>
      </c>
      <c r="H97" s="9">
        <f t="shared" si="3"/>
        <v>7252893</v>
      </c>
      <c r="I97" s="31">
        <f t="shared" si="3"/>
        <v>6427683</v>
      </c>
    </row>
    <row r="98" spans="2:9" ht="16.5" thickTop="1">
      <c r="B98" s="30"/>
      <c r="C98" s="16"/>
      <c r="D98" s="16"/>
      <c r="E98" s="16"/>
      <c r="F98" s="16"/>
      <c r="G98" s="16"/>
      <c r="H98" s="16"/>
      <c r="I98" s="32"/>
    </row>
    <row r="99" spans="2:9" ht="15.75" thickBot="1">
      <c r="B99" s="24" t="s">
        <v>62</v>
      </c>
      <c r="C99" s="25">
        <f t="shared" ref="C99:I99" si="4">+C97/C5*100</f>
        <v>37.994350631602401</v>
      </c>
      <c r="D99" s="25">
        <f t="shared" si="4"/>
        <v>44.899685436792247</v>
      </c>
      <c r="E99" s="25">
        <f t="shared" si="4"/>
        <v>42.801954686952605</v>
      </c>
      <c r="F99" s="25">
        <f t="shared" si="4"/>
        <v>44.093325179420724</v>
      </c>
      <c r="G99" s="25">
        <f t="shared" si="4"/>
        <v>46.658196095650858</v>
      </c>
      <c r="H99" s="25">
        <f t="shared" si="4"/>
        <v>54.578929723982164</v>
      </c>
      <c r="I99" s="26">
        <f t="shared" si="4"/>
        <v>41.918458837636678</v>
      </c>
    </row>
    <row r="100" spans="2:9" ht="15.75" thickBot="1"/>
    <row r="101" spans="2:9">
      <c r="B101" s="21" t="s">
        <v>74</v>
      </c>
      <c r="C101" s="22">
        <v>527922</v>
      </c>
      <c r="D101" s="22">
        <v>529229</v>
      </c>
      <c r="E101" s="22">
        <v>399970</v>
      </c>
      <c r="F101" s="22">
        <v>577189</v>
      </c>
      <c r="G101" s="22">
        <v>670872</v>
      </c>
      <c r="H101" s="22">
        <v>403413</v>
      </c>
      <c r="I101" s="23">
        <v>395290</v>
      </c>
    </row>
    <row r="102" spans="2:9" ht="15.75" thickBot="1">
      <c r="B102" s="24" t="s">
        <v>62</v>
      </c>
      <c r="C102" s="25">
        <f t="shared" ref="C102:I102" si="5">+C101/C5*100</f>
        <v>3.4339173112825923</v>
      </c>
      <c r="D102" s="25">
        <f t="shared" si="5"/>
        <v>4.2464027108730518</v>
      </c>
      <c r="E102" s="25">
        <f t="shared" si="5"/>
        <v>2.7523697788876165</v>
      </c>
      <c r="F102" s="25">
        <f t="shared" si="5"/>
        <v>3.8580844887141863</v>
      </c>
      <c r="G102" s="25">
        <f t="shared" si="5"/>
        <v>4.5741901678420804</v>
      </c>
      <c r="H102" s="25">
        <f t="shared" si="5"/>
        <v>3.0357334344710196</v>
      </c>
      <c r="I102" s="26">
        <f t="shared" si="5"/>
        <v>2.5779036697872937</v>
      </c>
    </row>
    <row r="105" spans="2:9" ht="15.75" thickBot="1"/>
    <row r="106" spans="2:9">
      <c r="B106" s="21" t="s">
        <v>81</v>
      </c>
      <c r="C106" s="37">
        <f>+C33+C97+C101</f>
        <v>12975308</v>
      </c>
      <c r="D106" s="37">
        <f t="shared" ref="D106:I106" si="6">+D33+D97+D101</f>
        <v>11478046</v>
      </c>
      <c r="E106" s="37">
        <f t="shared" si="6"/>
        <v>13273944</v>
      </c>
      <c r="F106" s="37">
        <f t="shared" si="6"/>
        <v>12905373</v>
      </c>
      <c r="G106" s="37">
        <f t="shared" si="6"/>
        <v>13759386</v>
      </c>
      <c r="H106" s="37">
        <f t="shared" si="6"/>
        <v>12477275</v>
      </c>
      <c r="I106" s="38">
        <f t="shared" si="6"/>
        <v>13374144</v>
      </c>
    </row>
    <row r="107" spans="2:9" ht="15.75" thickBot="1">
      <c r="B107" s="24" t="s">
        <v>62</v>
      </c>
      <c r="C107" s="39">
        <f>+C106/C5*100</f>
        <v>84.399086911368556</v>
      </c>
      <c r="D107" s="39">
        <f t="shared" ref="D107:I107" si="7">+D106/D5*100</f>
        <v>92.097004604671298</v>
      </c>
      <c r="E107" s="39">
        <f t="shared" si="7"/>
        <v>91.343856569859256</v>
      </c>
      <c r="F107" s="39">
        <f t="shared" si="7"/>
        <v>86.262938816177822</v>
      </c>
      <c r="G107" s="39">
        <f t="shared" si="7"/>
        <v>93.815285414719909</v>
      </c>
      <c r="H107" s="39">
        <f t="shared" si="7"/>
        <v>93.893059689671361</v>
      </c>
      <c r="I107" s="40">
        <f t="shared" si="7"/>
        <v>87.220154564658131</v>
      </c>
    </row>
    <row r="108" spans="2:9">
      <c r="B108" s="41"/>
      <c r="C108" s="42"/>
      <c r="D108" s="42"/>
      <c r="E108" s="42"/>
      <c r="F108" s="42"/>
      <c r="G108" s="42"/>
      <c r="H108" s="42"/>
      <c r="I108" s="42"/>
    </row>
    <row r="109" spans="2:9">
      <c r="B109" s="41"/>
      <c r="C109" s="42"/>
      <c r="D109" s="42"/>
      <c r="E109" s="42"/>
      <c r="F109" s="42"/>
      <c r="G109" s="42"/>
      <c r="H109" s="42"/>
      <c r="I109" s="42"/>
    </row>
    <row r="110" spans="2:9" ht="15.75" thickBot="1"/>
    <row r="111" spans="2:9">
      <c r="B111" s="21" t="s">
        <v>80</v>
      </c>
      <c r="C111" s="37">
        <f>+C5-C106</f>
        <v>2398446</v>
      </c>
      <c r="D111" s="37">
        <f t="shared" ref="D111:I111" si="8">+D5-D106</f>
        <v>984950</v>
      </c>
      <c r="E111" s="37">
        <f t="shared" si="8"/>
        <v>1257897</v>
      </c>
      <c r="F111" s="37">
        <f t="shared" si="8"/>
        <v>2055134</v>
      </c>
      <c r="G111" s="37">
        <f t="shared" si="8"/>
        <v>907079</v>
      </c>
      <c r="H111" s="37">
        <f t="shared" si="8"/>
        <v>811540</v>
      </c>
      <c r="I111" s="38">
        <f t="shared" si="8"/>
        <v>1959633</v>
      </c>
    </row>
    <row r="112" spans="2:9" ht="15.75" thickBot="1">
      <c r="B112" s="24" t="s">
        <v>62</v>
      </c>
      <c r="C112" s="39">
        <f>+C111/C5*100</f>
        <v>15.600913088631444</v>
      </c>
      <c r="D112" s="39">
        <f t="shared" ref="D112:I112" si="9">+D111/D5*100</f>
        <v>7.9029953953286993</v>
      </c>
      <c r="E112" s="39">
        <f t="shared" si="9"/>
        <v>8.6561434301407498</v>
      </c>
      <c r="F112" s="39">
        <f t="shared" si="9"/>
        <v>13.737061183822179</v>
      </c>
      <c r="G112" s="39">
        <f t="shared" si="9"/>
        <v>6.1847145852800933</v>
      </c>
      <c r="H112" s="39">
        <f t="shared" si="9"/>
        <v>6.1069403103286488</v>
      </c>
      <c r="I112" s="40">
        <f t="shared" si="9"/>
        <v>12.77984543534186</v>
      </c>
    </row>
  </sheetData>
  <mergeCells count="1">
    <mergeCell ref="B1:I1"/>
  </mergeCells>
  <printOptions horizontalCentered="1"/>
  <pageMargins left="0.5" right="0.25" top="0.5" bottom="0.5" header="0.3" footer="0.3"/>
  <pageSetup scale="9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>Shahjahan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Saleem Abbass</dc:creator>
  <cp:lastModifiedBy>Saleem Abbass</cp:lastModifiedBy>
  <cp:lastPrinted>2026-08-10T13:02:19Z</cp:lastPrinted>
  <dcterms:created xsi:type="dcterms:W3CDTF">2026-08-10T11:02:17Z</dcterms:created>
  <dcterms:modified xsi:type="dcterms:W3CDTF">2026-08-10T13:02:52Z</dcterms:modified>
</cp:coreProperties>
</file>